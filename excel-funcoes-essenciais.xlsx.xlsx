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ria\OneDrive\Área de Trabalho\"/>
    </mc:Choice>
  </mc:AlternateContent>
  <xr:revisionPtr revIDLastSave="0" documentId="13_ncr:1_{4DE3F09D-6AD7-45F9-839F-2D095BFB96CB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EADME_INTERNO" sheetId="13" r:id="rId1"/>
    <sheet name="PROCV" sheetId="1" r:id="rId2"/>
    <sheet name="PROCX" sheetId="3" r:id="rId3"/>
    <sheet name="SOMASE" sheetId="5" r:id="rId4"/>
    <sheet name="CASO_PRATICO" sheetId="14" r:id="rId5"/>
    <sheet name="DASHBOARD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4" l="1"/>
  <c r="F5" i="14"/>
  <c r="H17" i="5"/>
  <c r="H13" i="5"/>
  <c r="H9" i="5"/>
  <c r="H6" i="5"/>
  <c r="H3" i="5"/>
  <c r="I5" i="3"/>
  <c r="I5" i="1"/>
</calcChain>
</file>

<file path=xl/sharedStrings.xml><?xml version="1.0" encoding="utf-8"?>
<sst xmlns="http://schemas.openxmlformats.org/spreadsheetml/2006/main" count="155" uniqueCount="72">
  <si>
    <t>Notebook</t>
  </si>
  <si>
    <t>NOME</t>
  </si>
  <si>
    <t>CARGO</t>
  </si>
  <si>
    <t>SALÁRIO</t>
  </si>
  <si>
    <t>ANA</t>
  </si>
  <si>
    <t>Ana</t>
  </si>
  <si>
    <t>Beatriz</t>
  </si>
  <si>
    <t>Carlos</t>
  </si>
  <si>
    <t>Daniel</t>
  </si>
  <si>
    <t>Eduardo</t>
  </si>
  <si>
    <t>Supervisora</t>
  </si>
  <si>
    <t>Gerente</t>
  </si>
  <si>
    <t>Analista</t>
  </si>
  <si>
    <t>Assistente</t>
  </si>
  <si>
    <t>Diretor</t>
  </si>
  <si>
    <t>VENDEDOR</t>
  </si>
  <si>
    <t>CARLOS</t>
  </si>
  <si>
    <t>DATA</t>
  </si>
  <si>
    <t>FILIAL</t>
  </si>
  <si>
    <t>CATEGORIA</t>
  </si>
  <si>
    <t>VENDAS</t>
  </si>
  <si>
    <t>JOÃO</t>
  </si>
  <si>
    <t>MARIA</t>
  </si>
  <si>
    <t>NORTE</t>
  </si>
  <si>
    <t>SUL</t>
  </si>
  <si>
    <t>LESTE</t>
  </si>
  <si>
    <t>ELETRÔNICOS</t>
  </si>
  <si>
    <t>MÓVEIS</t>
  </si>
  <si>
    <t>SOMA</t>
  </si>
  <si>
    <t>TOTAL</t>
  </si>
  <si>
    <t>JAN</t>
  </si>
  <si>
    <t>FEV</t>
  </si>
  <si>
    <t>MAR</t>
  </si>
  <si>
    <t>RECEITA TOTAL</t>
  </si>
  <si>
    <t>TOTAL GERAL</t>
  </si>
  <si>
    <t>FATURAMENTO</t>
  </si>
  <si>
    <t>📊 Projeto: Funções Essenciais do Excel</t>
  </si>
  <si>
    <t>Objetivo:</t>
  </si>
  <si>
    <t>Demonstrar o uso prático das principais funções para análise de dados.</t>
  </si>
  <si>
    <t>Funções abordadas:</t>
  </si>
  <si>
    <t>PROCV</t>
  </si>
  <si>
    <t>PROCX</t>
  </si>
  <si>
    <t>PROCH</t>
  </si>
  <si>
    <t>SOMASE / SOMASES</t>
  </si>
  <si>
    <t>Data</t>
  </si>
  <si>
    <t>Vendedor</t>
  </si>
  <si>
    <t>Produto</t>
  </si>
  <si>
    <t>Valor</t>
  </si>
  <si>
    <t>Celular</t>
  </si>
  <si>
    <t>João</t>
  </si>
  <si>
    <t>Cadeira</t>
  </si>
  <si>
    <t>Maria</t>
  </si>
  <si>
    <t>Mesa</t>
  </si>
  <si>
    <t>Total</t>
  </si>
  <si>
    <t>RESULTADO ESPERADO</t>
  </si>
  <si>
    <r>
      <rPr>
        <b/>
        <sz val="11"/>
        <color theme="1"/>
        <rFont val="Calibri"/>
        <family val="2"/>
        <scheme val="minor"/>
      </rPr>
      <t>Objetivo</t>
    </r>
    <r>
      <rPr>
        <sz val="11"/>
        <color theme="1"/>
        <rFont val="Calibri"/>
        <family val="2"/>
        <scheme val="minor"/>
      </rPr>
      <t>: Analisar o faturamento por vendedor e identificar quem teve maior desempenho.</t>
    </r>
  </si>
  <si>
    <r>
      <rPr>
        <b/>
        <sz val="11"/>
        <color theme="1"/>
        <rFont val="Calibri"/>
        <family val="2"/>
        <scheme val="minor"/>
      </rPr>
      <t>Solução</t>
    </r>
    <r>
      <rPr>
        <sz val="11"/>
        <color theme="1"/>
        <rFont val="Calibri"/>
        <family val="2"/>
        <scheme val="minor"/>
      </rPr>
      <t>: Utilização da função SOMASE para consolidar o total de vendas por vendedor de forma automatizada.</t>
    </r>
  </si>
  <si>
    <r>
      <rPr>
        <b/>
        <sz val="11"/>
        <color theme="1"/>
        <rFont val="Calibri"/>
        <family val="2"/>
        <scheme val="minor"/>
      </rPr>
      <t>Resultado</t>
    </r>
    <r>
      <rPr>
        <sz val="11"/>
        <color theme="1"/>
        <rFont val="Calibri"/>
        <family val="2"/>
        <scheme val="minor"/>
      </rPr>
      <t>: Visualização clara do faturamento individual e total da equipe.</t>
    </r>
  </si>
  <si>
    <t>Analisar o desempenho de vendas por vendedor, identificando o faturamento individual e o total geral da equipe.</t>
  </si>
  <si>
    <t>Uma empresa precisa acompanhar o desempenho da equipe comercial para entender quais vendedores geram mais receita e apoiar decisões estratégicas.</t>
  </si>
  <si>
    <t>Foi utilizada a função SOMASE para consolidar automaticamente o total de vendas por vendedor, permitindo o cruzamento de dados e análise rápida sem necessidade de cálculos manuais.</t>
  </si>
  <si>
    <t>A solução permite visualizar de forma clara o faturamento individual de cada vendedor, além do total geral, facilitando a identificação dos melhores desempenhos e possíveis oportunidades de melhoria.</t>
  </si>
  <si>
    <t>Automatização do processo de análise, aumento da eficiência e melhoria na tomada de decisão baseada em dados.</t>
  </si>
  <si>
    <r>
      <t xml:space="preserve">📊 </t>
    </r>
    <r>
      <rPr>
        <b/>
        <sz val="11"/>
        <color theme="1"/>
        <rFont val="Calibri"/>
        <family val="2"/>
        <scheme val="minor"/>
      </rPr>
      <t>CASO PRÁTICO – ANÁLISE DE VENDAS</t>
    </r>
  </si>
  <si>
    <r>
      <t xml:space="preserve">🎯 </t>
    </r>
    <r>
      <rPr>
        <b/>
        <sz val="11"/>
        <color theme="1"/>
        <rFont val="Calibri"/>
        <family val="2"/>
        <scheme val="minor"/>
      </rPr>
      <t>Objetivo:</t>
    </r>
  </si>
  <si>
    <r>
      <t xml:space="preserve">💼 </t>
    </r>
    <r>
      <rPr>
        <b/>
        <sz val="11"/>
        <color theme="1"/>
        <rFont val="Calibri"/>
        <family val="2"/>
        <scheme val="minor"/>
      </rPr>
      <t>Contexto:</t>
    </r>
  </si>
  <si>
    <r>
      <t xml:space="preserve">🛠️ </t>
    </r>
    <r>
      <rPr>
        <b/>
        <sz val="11"/>
        <color theme="1"/>
        <rFont val="Calibri"/>
        <family val="2"/>
        <scheme val="minor"/>
      </rPr>
      <t>Solução:</t>
    </r>
  </si>
  <si>
    <r>
      <t xml:space="preserve">📈 </t>
    </r>
    <r>
      <rPr>
        <b/>
        <sz val="11"/>
        <color theme="1"/>
        <rFont val="Calibri"/>
        <family val="2"/>
        <scheme val="minor"/>
      </rPr>
      <t>Resultado:</t>
    </r>
  </si>
  <si>
    <r>
      <t xml:space="preserve">🚀 </t>
    </r>
    <r>
      <rPr>
        <b/>
        <sz val="11"/>
        <color theme="1"/>
        <rFont val="Calibri"/>
        <family val="2"/>
        <scheme val="minor"/>
      </rPr>
      <t>Impacto:</t>
    </r>
  </si>
  <si>
    <t xml:space="preserve">  RECEITA TOTAL</t>
  </si>
  <si>
    <t>O vendedor João apresenta o maior faturamento, indicando melhor desempenho comercial no período analisado.</t>
  </si>
  <si>
    <r>
      <rPr>
        <b/>
        <sz val="11"/>
        <color theme="1"/>
        <rFont val="Calibri"/>
        <family val="2"/>
        <scheme val="minor"/>
      </rPr>
      <t>Insigh</t>
    </r>
    <r>
      <rPr>
        <sz val="11"/>
        <color theme="1"/>
        <rFont val="Calibri"/>
        <family val="2"/>
        <scheme val="minor"/>
      </rPr>
      <t>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</si>
</sst>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vertic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11" fillId="4" borderId="0" xfId="0" applyFont="1" applyFill="1" applyAlignment="1">
      <alignment horizontal="center" vertical="center" wrapText="1"/>
    </xf>
    <xf numFmtId="164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8" fontId="6" fillId="0" borderId="0" xfId="0" applyNumberFormat="1" applyFont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11"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76727909011375"/>
          <c:y val="7.2562358276643993E-2"/>
          <c:w val="0.82367716535433066"/>
          <c:h val="0.853325477172496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CASO_PRATICO!$G$12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CASO_PRATICO!$F$13:$F$16</c:f>
              <c:strCache>
                <c:ptCount val="4"/>
                <c:pt idx="0">
                  <c:v>Ana</c:v>
                </c:pt>
                <c:pt idx="1">
                  <c:v>Carlos</c:v>
                </c:pt>
                <c:pt idx="2">
                  <c:v>João</c:v>
                </c:pt>
                <c:pt idx="3">
                  <c:v>Maria</c:v>
                </c:pt>
              </c:strCache>
            </c:strRef>
          </c:cat>
          <c:val>
            <c:numRef>
              <c:f>CASO_PRATICO!$G$13:$G$16</c:f>
              <c:numCache>
                <c:formatCode>"R$"\ #,##0.00</c:formatCode>
                <c:ptCount val="4"/>
                <c:pt idx="0">
                  <c:v>4500</c:v>
                </c:pt>
                <c:pt idx="1">
                  <c:v>1500</c:v>
                </c:pt>
                <c:pt idx="2">
                  <c:v>3200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9-4117-A1A6-1034F1437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749968"/>
        <c:axId val="1637199840"/>
      </c:barChart>
      <c:catAx>
        <c:axId val="128974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7199840"/>
        <c:crosses val="autoZero"/>
        <c:auto val="1"/>
        <c:lblAlgn val="ctr"/>
        <c:lblOffset val="100"/>
        <c:noMultiLvlLbl val="0"/>
      </c:catAx>
      <c:valAx>
        <c:axId val="16371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74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6784776902887"/>
          <c:y val="0.12860892388451445"/>
          <c:w val="0.5806826334208223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ANA</c:v>
              </c:pt>
              <c:pt idx="1">
                <c:v>CARLOS</c:v>
              </c:pt>
              <c:pt idx="2">
                <c:v>JOÃO</c:v>
              </c:pt>
              <c:pt idx="3">
                <c:v>MARIA</c:v>
              </c:pt>
            </c:strLit>
          </c:cat>
          <c:val>
            <c:numLit>
              <c:formatCode>General</c:formatCode>
              <c:ptCount val="4"/>
              <c:pt idx="0">
                <c:v>300</c:v>
              </c:pt>
              <c:pt idx="1">
                <c:v>450</c:v>
              </c:pt>
              <c:pt idx="2">
                <c:v>2050</c:v>
              </c:pt>
              <c:pt idx="3">
                <c:v>850</c:v>
              </c:pt>
            </c:numLit>
          </c:val>
          <c:extLst>
            <c:ext xmlns:c16="http://schemas.microsoft.com/office/drawing/2014/chart" uri="{C3380CC4-5D6E-409C-BE32-E72D297353CC}">
              <c16:uniqueId val="{00000000-253A-42A9-955F-227361B210A5}"/>
            </c:ext>
          </c:extLst>
        </c:ser>
        <c:ser>
          <c:idx val="1"/>
          <c:order val="1"/>
          <c:tx>
            <c:v>fev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ANA</c:v>
              </c:pt>
              <c:pt idx="1">
                <c:v>CARLOS</c:v>
              </c:pt>
              <c:pt idx="2">
                <c:v>JOÃO</c:v>
              </c:pt>
              <c:pt idx="3">
                <c:v>MARIA</c:v>
              </c:pt>
            </c:strLit>
          </c:cat>
          <c:val>
            <c:numLit>
              <c:formatCode>General</c:formatCode>
              <c:ptCount val="4"/>
              <c:pt idx="0">
                <c:v>400</c:v>
              </c:pt>
              <c:pt idx="1">
                <c:v>1300</c:v>
              </c:pt>
              <c:pt idx="2">
                <c:v>250</c:v>
              </c:pt>
              <c:pt idx="3">
                <c:v>900</c:v>
              </c:pt>
            </c:numLit>
          </c:val>
          <c:extLst>
            <c:ext xmlns:c16="http://schemas.microsoft.com/office/drawing/2014/chart" uri="{C3380CC4-5D6E-409C-BE32-E72D297353CC}">
              <c16:uniqueId val="{00000001-253A-42A9-955F-227361B210A5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ANA</c:v>
              </c:pt>
              <c:pt idx="1">
                <c:v>CARLOS</c:v>
              </c:pt>
              <c:pt idx="2">
                <c:v>JOÃO</c:v>
              </c:pt>
              <c:pt idx="3">
                <c:v>MARIA</c:v>
              </c:pt>
            </c:strLit>
          </c:cat>
          <c:val>
            <c:numLit>
              <c:formatCode>General</c:formatCode>
              <c:ptCount val="4"/>
              <c:pt idx="0">
                <c:v>280</c:v>
              </c:pt>
              <c:pt idx="1">
                <c:v>420</c:v>
              </c:pt>
              <c:pt idx="2">
                <c:v>0</c:v>
              </c:pt>
              <c:pt idx="3">
                <c:v>600</c:v>
              </c:pt>
            </c:numLit>
          </c:val>
          <c:extLst>
            <c:ext xmlns:c16="http://schemas.microsoft.com/office/drawing/2014/chart" uri="{C3380CC4-5D6E-409C-BE32-E72D297353CC}">
              <c16:uniqueId val="{00000002-253A-42A9-955F-227361B21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0699567"/>
        <c:axId val="1590700047"/>
      </c:barChart>
      <c:catAx>
        <c:axId val="159069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0700047"/>
        <c:crosses val="autoZero"/>
        <c:auto val="1"/>
        <c:lblAlgn val="ctr"/>
        <c:lblOffset val="100"/>
        <c:noMultiLvlLbl val="0"/>
      </c:catAx>
      <c:valAx>
        <c:axId val="15907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069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68590554380713"/>
          <c:y val="0.25784207482539256"/>
          <c:w val="7.9651772224041628E-2"/>
          <c:h val="0.22881516081676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3</xdr:row>
      <xdr:rowOff>14287</xdr:rowOff>
    </xdr:from>
    <xdr:to>
      <xdr:col>14</xdr:col>
      <xdr:colOff>485775</xdr:colOff>
      <xdr:row>15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D51DE6-127F-3D2C-72A6-C7A4C371F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28575</xdr:rowOff>
    </xdr:from>
    <xdr:to>
      <xdr:col>9</xdr:col>
      <xdr:colOff>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8BF1F-5970-478A-9059-60A16F367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FCA9B-7384-4318-95F2-5FFE9A904CBA}" name="Tabela2" displayName="Tabela2" ref="B1:E13" totalsRowShown="0" headerRowDxfId="10" dataDxfId="9" tableBorderDxfId="8">
  <autoFilter ref="B1:E13" xr:uid="{99CFCA9B-7384-4318-95F2-5FFE9A904CBA}"/>
  <tableColumns count="4">
    <tableColumn id="1" xr3:uid="{F618CA86-384C-4CC1-A60D-5A6C55AA5D42}" name="VENDEDOR" dataDxfId="7"/>
    <tableColumn id="2" xr3:uid="{E6B6DF9D-D9C6-4AB4-91F7-CB15FEF380BA}" name="FILIAL" dataDxfId="6"/>
    <tableColumn id="3" xr3:uid="{48D1CF6D-E692-42C9-AD39-009338B4153C}" name="CATEGORIA" dataDxfId="5"/>
    <tableColumn id="4" xr3:uid="{873B1ACA-650D-4C43-925F-BFFF3D392D3C}" name="VENDAS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C18979-BCBF-4FD8-85BA-83CB678B41BE}" name="Tabela4" displayName="Tabela4" ref="A1:A13" totalsRowShown="0" headerRowDxfId="3" dataDxfId="2" tableBorderDxfId="1">
  <autoFilter ref="A1:A13" xr:uid="{28C18979-BCBF-4FD8-85BA-83CB678B41BE}"/>
  <tableColumns count="1">
    <tableColumn id="1" xr3:uid="{87F40E39-40DD-455C-8065-59E4F9CAB9E2}" name="DAT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0A19-E497-4226-AD51-83BD346472E5}">
  <dimension ref="B2:E33"/>
  <sheetViews>
    <sheetView showGridLines="0" topLeftCell="C1" workbookViewId="0">
      <selection activeCell="A18" sqref="A18"/>
    </sheetView>
  </sheetViews>
  <sheetFormatPr defaultRowHeight="15"/>
  <cols>
    <col min="1" max="1" width="64.85546875" bestFit="1" customWidth="1"/>
    <col min="4" max="4" width="9.140625" customWidth="1"/>
  </cols>
  <sheetData>
    <row r="2" spans="2:5" ht="23.25">
      <c r="B2" s="29" t="s">
        <v>36</v>
      </c>
      <c r="C2" s="29"/>
      <c r="D2" s="29"/>
      <c r="E2" s="29"/>
    </row>
    <row r="4" spans="2:5" ht="23.25">
      <c r="B4" s="29" t="s">
        <v>37</v>
      </c>
    </row>
    <row r="5" spans="2:5">
      <c r="B5" t="s">
        <v>38</v>
      </c>
    </row>
    <row r="7" spans="2:5">
      <c r="B7" s="28" t="s">
        <v>39</v>
      </c>
      <c r="C7" s="28"/>
    </row>
    <row r="8" spans="2:5">
      <c r="B8" t="s">
        <v>40</v>
      </c>
    </row>
    <row r="9" spans="2:5">
      <c r="B9" t="s">
        <v>41</v>
      </c>
    </row>
    <row r="10" spans="2:5">
      <c r="B10" t="s">
        <v>42</v>
      </c>
    </row>
    <row r="11" spans="2:5">
      <c r="B11" s="30" t="s">
        <v>43</v>
      </c>
    </row>
    <row r="13" spans="2:5">
      <c r="B13" t="s">
        <v>55</v>
      </c>
    </row>
    <row r="14" spans="2:5">
      <c r="B14" t="s">
        <v>56</v>
      </c>
    </row>
    <row r="15" spans="2:5">
      <c r="B15" t="s">
        <v>57</v>
      </c>
    </row>
    <row r="18" spans="2:2">
      <c r="B18" t="s">
        <v>63</v>
      </c>
    </row>
    <row r="20" spans="2:2">
      <c r="B20" t="s">
        <v>64</v>
      </c>
    </row>
    <row r="21" spans="2:2">
      <c r="B21" t="s">
        <v>58</v>
      </c>
    </row>
    <row r="23" spans="2:2">
      <c r="B23" t="s">
        <v>65</v>
      </c>
    </row>
    <row r="24" spans="2:2">
      <c r="B24" t="s">
        <v>59</v>
      </c>
    </row>
    <row r="26" spans="2:2">
      <c r="B26" t="s">
        <v>66</v>
      </c>
    </row>
    <row r="27" spans="2:2">
      <c r="B27" t="s">
        <v>60</v>
      </c>
    </row>
    <row r="29" spans="2:2">
      <c r="B29" t="s">
        <v>67</v>
      </c>
    </row>
    <row r="30" spans="2:2">
      <c r="B30" t="s">
        <v>61</v>
      </c>
    </row>
    <row r="32" spans="2:2">
      <c r="B32" t="s">
        <v>68</v>
      </c>
    </row>
    <row r="33" spans="2:2">
      <c r="B33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opLeftCell="B1" workbookViewId="0">
      <selection activeCell="G16" sqref="G16"/>
    </sheetView>
  </sheetViews>
  <sheetFormatPr defaultRowHeight="15"/>
  <cols>
    <col min="2" max="2" width="11.28515625" customWidth="1"/>
    <col min="3" max="3" width="14.5703125" customWidth="1"/>
    <col min="4" max="4" width="12.5703125" customWidth="1"/>
    <col min="8" max="8" width="11.28515625" customWidth="1"/>
    <col min="9" max="9" width="16.85546875" customWidth="1"/>
  </cols>
  <sheetData>
    <row r="1" spans="1:12">
      <c r="A1" s="1"/>
      <c r="B1" s="2"/>
    </row>
    <row r="4" spans="1:12">
      <c r="B4" s="3" t="s">
        <v>1</v>
      </c>
      <c r="C4" s="3" t="s">
        <v>2</v>
      </c>
      <c r="D4" s="3" t="s">
        <v>3</v>
      </c>
      <c r="H4" s="7" t="s">
        <v>1</v>
      </c>
      <c r="I4" s="7" t="s">
        <v>3</v>
      </c>
    </row>
    <row r="5" spans="1:12">
      <c r="B5" s="4" t="s">
        <v>5</v>
      </c>
      <c r="C5" s="4" t="s">
        <v>10</v>
      </c>
      <c r="D5" s="6">
        <v>7200</v>
      </c>
      <c r="H5" s="4" t="s">
        <v>5</v>
      </c>
      <c r="I5" s="6">
        <f>VLOOKUP(H5,B5:D9,3,FALSE)</f>
        <v>7200</v>
      </c>
    </row>
    <row r="6" spans="1:12">
      <c r="B6" s="4" t="s">
        <v>6</v>
      </c>
      <c r="C6" s="4" t="s">
        <v>11</v>
      </c>
      <c r="D6" s="6">
        <v>10500</v>
      </c>
    </row>
    <row r="7" spans="1:12">
      <c r="B7" s="4" t="s">
        <v>7</v>
      </c>
      <c r="C7" s="4" t="s">
        <v>12</v>
      </c>
      <c r="D7" s="6">
        <v>5500</v>
      </c>
    </row>
    <row r="8" spans="1:12">
      <c r="B8" s="4" t="s">
        <v>8</v>
      </c>
      <c r="C8" s="4" t="s">
        <v>13</v>
      </c>
      <c r="D8" s="6">
        <v>4300</v>
      </c>
      <c r="G8" s="45"/>
      <c r="H8" s="45"/>
      <c r="I8" s="45"/>
      <c r="J8" s="45"/>
      <c r="K8" s="45"/>
      <c r="L8" s="45"/>
    </row>
    <row r="9" spans="1:12">
      <c r="B9" s="4" t="s">
        <v>9</v>
      </c>
      <c r="C9" s="4" t="s">
        <v>14</v>
      </c>
      <c r="D9" s="6">
        <v>15000</v>
      </c>
    </row>
  </sheetData>
  <mergeCells count="1">
    <mergeCell ref="G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2ABC-5DD1-484A-B144-16BEC638C890}">
  <dimension ref="A4:Q13"/>
  <sheetViews>
    <sheetView showGridLines="0" workbookViewId="0">
      <selection activeCell="F18" sqref="F18"/>
    </sheetView>
  </sheetViews>
  <sheetFormatPr defaultRowHeight="15"/>
  <cols>
    <col min="1" max="1" width="11.42578125" bestFit="1" customWidth="1"/>
    <col min="2" max="2" width="11.7109375" bestFit="1" customWidth="1"/>
    <col min="3" max="3" width="8.28515625" bestFit="1" customWidth="1"/>
    <col min="8" max="8" width="10.85546875" customWidth="1"/>
    <col min="9" max="9" width="13.28515625" customWidth="1"/>
    <col min="12" max="12" width="10.7109375" customWidth="1"/>
  </cols>
  <sheetData>
    <row r="4" spans="1:17">
      <c r="A4" s="3" t="s">
        <v>2</v>
      </c>
      <c r="B4" s="3" t="s">
        <v>3</v>
      </c>
      <c r="C4" s="3" t="s">
        <v>1</v>
      </c>
      <c r="H4" s="7" t="s">
        <v>1</v>
      </c>
      <c r="I4" s="7" t="s">
        <v>3</v>
      </c>
    </row>
    <row r="5" spans="1:17">
      <c r="A5" s="4" t="s">
        <v>10</v>
      </c>
      <c r="B5" s="6">
        <v>7200</v>
      </c>
      <c r="C5" s="4" t="s">
        <v>5</v>
      </c>
      <c r="H5" s="4" t="s">
        <v>4</v>
      </c>
      <c r="I5" s="6">
        <f>_xlfn.XLOOKUP(H5,C5:C9,B5:B9,)</f>
        <v>7200</v>
      </c>
    </row>
    <row r="6" spans="1:17">
      <c r="A6" s="4" t="s">
        <v>11</v>
      </c>
      <c r="B6" s="6">
        <v>10500</v>
      </c>
      <c r="C6" s="4" t="s">
        <v>6</v>
      </c>
    </row>
    <row r="7" spans="1:17">
      <c r="A7" s="4" t="s">
        <v>12</v>
      </c>
      <c r="B7" s="6">
        <v>5500</v>
      </c>
      <c r="C7" s="4" t="s">
        <v>7</v>
      </c>
    </row>
    <row r="8" spans="1:17">
      <c r="A8" s="4" t="s">
        <v>13</v>
      </c>
      <c r="B8" s="6">
        <v>4300</v>
      </c>
      <c r="C8" s="4" t="s">
        <v>8</v>
      </c>
    </row>
    <row r="9" spans="1:17">
      <c r="A9" s="4" t="s">
        <v>14</v>
      </c>
      <c r="B9" s="6">
        <v>15000</v>
      </c>
      <c r="C9" s="4" t="s">
        <v>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8"/>
    </row>
    <row r="12" spans="1:17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G13" s="45"/>
      <c r="H13" s="45"/>
      <c r="I13" s="45"/>
      <c r="J13" s="45"/>
      <c r="K13" s="45"/>
      <c r="L13" s="45"/>
      <c r="M13" s="45"/>
      <c r="N13" s="45"/>
      <c r="O13" s="45"/>
      <c r="P13" s="45"/>
    </row>
  </sheetData>
  <mergeCells count="2">
    <mergeCell ref="G11:P11"/>
    <mergeCell ref="G13:P1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4671-C273-4A6A-9D2F-8709CF55AA0A}">
  <dimension ref="A1:N18"/>
  <sheetViews>
    <sheetView showGridLines="0" workbookViewId="0">
      <selection activeCell="K10" sqref="K10"/>
    </sheetView>
  </sheetViews>
  <sheetFormatPr defaultRowHeight="15"/>
  <cols>
    <col min="1" max="1" width="12.5703125" customWidth="1"/>
    <col min="2" max="2" width="13" customWidth="1"/>
    <col min="4" max="4" width="17.140625" customWidth="1"/>
    <col min="5" max="5" width="15.28515625" customWidth="1"/>
    <col min="7" max="7" width="16.5703125" customWidth="1"/>
    <col min="8" max="8" width="15" customWidth="1"/>
    <col min="9" max="9" width="10.140625" customWidth="1"/>
  </cols>
  <sheetData>
    <row r="1" spans="1:14">
      <c r="A1" s="3" t="s">
        <v>17</v>
      </c>
      <c r="B1" s="3" t="s">
        <v>15</v>
      </c>
      <c r="C1" s="3" t="s">
        <v>18</v>
      </c>
      <c r="D1" s="3" t="s">
        <v>19</v>
      </c>
      <c r="E1" s="3" t="s">
        <v>20</v>
      </c>
    </row>
    <row r="2" spans="1:14">
      <c r="A2" s="10">
        <v>46027</v>
      </c>
      <c r="B2" s="4" t="s">
        <v>21</v>
      </c>
      <c r="C2" s="4" t="s">
        <v>23</v>
      </c>
      <c r="D2" s="4" t="s">
        <v>26</v>
      </c>
      <c r="E2" s="6">
        <v>1200</v>
      </c>
      <c r="G2" s="3" t="s">
        <v>19</v>
      </c>
      <c r="H2" s="11" t="s">
        <v>28</v>
      </c>
    </row>
    <row r="3" spans="1:14">
      <c r="A3" s="10">
        <v>46029</v>
      </c>
      <c r="B3" s="4" t="s">
        <v>22</v>
      </c>
      <c r="C3" s="4" t="s">
        <v>24</v>
      </c>
      <c r="D3" s="4" t="s">
        <v>26</v>
      </c>
      <c r="E3" s="6">
        <v>850</v>
      </c>
      <c r="G3" s="4" t="s">
        <v>27</v>
      </c>
      <c r="H3" s="6">
        <f>SUMIF(D:D,G3,E:E)</f>
        <v>3330</v>
      </c>
      <c r="J3" s="8"/>
      <c r="K3" s="8"/>
      <c r="L3" s="8"/>
      <c r="M3" s="8"/>
      <c r="N3" s="8"/>
    </row>
    <row r="4" spans="1:14">
      <c r="A4" s="10">
        <v>46032</v>
      </c>
      <c r="B4" s="4" t="s">
        <v>16</v>
      </c>
      <c r="C4" s="4" t="s">
        <v>23</v>
      </c>
      <c r="D4" s="4" t="s">
        <v>26</v>
      </c>
      <c r="E4" s="6">
        <v>450</v>
      </c>
    </row>
    <row r="5" spans="1:14">
      <c r="A5" s="10">
        <v>46037</v>
      </c>
      <c r="B5" s="4" t="s">
        <v>4</v>
      </c>
      <c r="C5" s="4" t="s">
        <v>24</v>
      </c>
      <c r="D5" s="4" t="s">
        <v>27</v>
      </c>
      <c r="E5" s="6">
        <v>300</v>
      </c>
      <c r="G5" s="3" t="s">
        <v>18</v>
      </c>
      <c r="H5" s="11" t="s">
        <v>28</v>
      </c>
      <c r="J5" s="8"/>
      <c r="K5" s="8"/>
      <c r="L5" s="8"/>
      <c r="M5" s="8"/>
      <c r="N5" s="8"/>
    </row>
    <row r="6" spans="1:14">
      <c r="A6" s="10">
        <v>46042</v>
      </c>
      <c r="B6" s="4" t="s">
        <v>21</v>
      </c>
      <c r="C6" s="4" t="s">
        <v>25</v>
      </c>
      <c r="D6" s="4" t="s">
        <v>27</v>
      </c>
      <c r="E6" s="6">
        <v>850</v>
      </c>
      <c r="G6" s="4" t="s">
        <v>23</v>
      </c>
      <c r="H6" s="6">
        <f>SUMIF(C:C,G6,E:E)</f>
        <v>3370</v>
      </c>
      <c r="J6" s="8"/>
      <c r="K6" s="8"/>
      <c r="L6" s="8"/>
      <c r="M6" s="8"/>
      <c r="N6" s="8"/>
    </row>
    <row r="7" spans="1:14">
      <c r="A7" s="10">
        <v>46058</v>
      </c>
      <c r="B7" s="4" t="s">
        <v>22</v>
      </c>
      <c r="C7" s="4" t="s">
        <v>24</v>
      </c>
      <c r="D7" s="4" t="s">
        <v>26</v>
      </c>
      <c r="E7" s="6">
        <v>900</v>
      </c>
    </row>
    <row r="8" spans="1:14">
      <c r="A8" s="10">
        <v>46060</v>
      </c>
      <c r="B8" s="4" t="s">
        <v>16</v>
      </c>
      <c r="C8" s="4" t="s">
        <v>23</v>
      </c>
      <c r="D8" s="4" t="s">
        <v>27</v>
      </c>
      <c r="E8" s="6">
        <v>1300</v>
      </c>
      <c r="G8" s="5" t="s">
        <v>15</v>
      </c>
      <c r="H8" s="7" t="s">
        <v>29</v>
      </c>
      <c r="J8" s="8"/>
      <c r="K8" s="8"/>
      <c r="L8" s="8"/>
      <c r="M8" s="8"/>
    </row>
    <row r="9" spans="1:14">
      <c r="A9" s="10">
        <v>46063</v>
      </c>
      <c r="B9" s="4" t="s">
        <v>4</v>
      </c>
      <c r="C9" s="4" t="s">
        <v>24</v>
      </c>
      <c r="D9" s="4" t="s">
        <v>26</v>
      </c>
      <c r="E9" s="6">
        <v>400</v>
      </c>
      <c r="G9" s="4" t="s">
        <v>4</v>
      </c>
      <c r="H9" s="6">
        <f>SUMIF(Tabela2[[#All],[VENDEDOR]],G9,Tabela2[[#All],[VENDAS]])</f>
        <v>980</v>
      </c>
    </row>
    <row r="10" spans="1:14">
      <c r="A10" s="10">
        <v>46068</v>
      </c>
      <c r="B10" s="4" t="s">
        <v>21</v>
      </c>
      <c r="C10" s="4" t="s">
        <v>25</v>
      </c>
      <c r="D10" s="4" t="s">
        <v>26</v>
      </c>
      <c r="E10" s="6">
        <v>250</v>
      </c>
    </row>
    <row r="11" spans="1:14">
      <c r="A11" s="10">
        <v>46086</v>
      </c>
      <c r="B11" s="4" t="s">
        <v>22</v>
      </c>
      <c r="C11" s="4" t="s">
        <v>24</v>
      </c>
      <c r="D11" s="4" t="s">
        <v>27</v>
      </c>
      <c r="E11" s="6">
        <v>600</v>
      </c>
      <c r="I11" s="8"/>
    </row>
    <row r="12" spans="1:14">
      <c r="A12" s="10">
        <v>46088</v>
      </c>
      <c r="B12" s="4" t="s">
        <v>16</v>
      </c>
      <c r="C12" s="4" t="s">
        <v>23</v>
      </c>
      <c r="D12" s="4" t="s">
        <v>26</v>
      </c>
      <c r="E12" s="6">
        <v>420</v>
      </c>
      <c r="G12" s="3" t="s">
        <v>18</v>
      </c>
      <c r="H12" s="15" t="s">
        <v>29</v>
      </c>
      <c r="I12" s="8"/>
      <c r="J12" s="8"/>
      <c r="K12" s="8"/>
      <c r="L12" s="8"/>
      <c r="M12" s="8"/>
    </row>
    <row r="13" spans="1:14">
      <c r="A13" s="14">
        <v>46091</v>
      </c>
      <c r="B13" s="12" t="s">
        <v>4</v>
      </c>
      <c r="C13" s="12" t="s">
        <v>25</v>
      </c>
      <c r="D13" s="12" t="s">
        <v>27</v>
      </c>
      <c r="E13" s="13">
        <v>280</v>
      </c>
      <c r="G13" s="31" t="s">
        <v>24</v>
      </c>
      <c r="H13" s="32">
        <f>SUMIF(Tabela2[[#All],[FILIAL]],G13,Tabela2[[#All],[VENDAS]])</f>
        <v>3050</v>
      </c>
      <c r="I13" s="8"/>
      <c r="J13" s="8"/>
      <c r="K13" s="8"/>
      <c r="L13" s="8"/>
      <c r="M13" s="8"/>
    </row>
    <row r="14" spans="1:14">
      <c r="A14" s="9"/>
      <c r="I14" s="8"/>
      <c r="J14" s="8"/>
      <c r="K14" s="8"/>
      <c r="L14" s="8"/>
      <c r="M14" s="8"/>
    </row>
    <row r="15" spans="1:14">
      <c r="I15" s="8"/>
      <c r="J15" s="8"/>
      <c r="K15" s="8"/>
      <c r="L15" s="8"/>
      <c r="M15" s="8"/>
    </row>
    <row r="16" spans="1:14">
      <c r="G16" s="3" t="s">
        <v>19</v>
      </c>
      <c r="H16" s="15" t="s">
        <v>29</v>
      </c>
      <c r="I16" s="8"/>
      <c r="J16" s="8"/>
      <c r="K16" s="8"/>
      <c r="L16" s="8"/>
      <c r="M16" s="8"/>
    </row>
    <row r="17" spans="7:13">
      <c r="G17" s="6" t="s">
        <v>26</v>
      </c>
      <c r="H17" s="6">
        <f>SUMIF(Tabela2[[#All],[CATEGORIA]],G17,Tabela2[[#All],[VENDAS]])</f>
        <v>4470</v>
      </c>
      <c r="I17" s="8"/>
      <c r="J17" s="8"/>
      <c r="K17" s="8"/>
      <c r="L17" s="8"/>
      <c r="M17" s="8"/>
    </row>
    <row r="18" spans="7:13">
      <c r="I18" s="8"/>
      <c r="J18" s="8"/>
      <c r="K18" s="8"/>
      <c r="L18" s="8"/>
      <c r="M18" s="8"/>
    </row>
  </sheetData>
  <dataValidations count="3">
    <dataValidation type="list" allowBlank="1" showInputMessage="1" showErrorMessage="1" sqref="G9" xr:uid="{F1EFD023-CE6E-4C82-A2C4-8B2C15473092}">
      <formula1>"JOÃO,MARIA,CARLOS,ANA"</formula1>
    </dataValidation>
    <dataValidation type="list" allowBlank="1" showInputMessage="1" showErrorMessage="1" sqref="G13" xr:uid="{C7AC5F1B-D9A8-43B9-9449-FDC7D4DBD247}">
      <formula1>"NORTE,SUL,LESTE"</formula1>
    </dataValidation>
    <dataValidation type="list" allowBlank="1" showInputMessage="1" showErrorMessage="1" sqref="G17" xr:uid="{D8DA526E-32F3-4ABC-9ED1-D19CE606FDC1}">
      <formula1>"ELETRÔNICOS,MÓVEIS"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9EDB-EAAC-4B88-822C-BD39C0D71DB1}">
  <dimension ref="A1:M18"/>
  <sheetViews>
    <sheetView showGridLines="0" tabSelected="1" workbookViewId="0">
      <selection activeCell="G6" sqref="G6"/>
    </sheetView>
  </sheetViews>
  <sheetFormatPr defaultRowHeight="15"/>
  <cols>
    <col min="1" max="1" width="10.7109375" bestFit="1" customWidth="1"/>
    <col min="2" max="2" width="12.140625" customWidth="1"/>
    <col min="3" max="3" width="16.42578125" customWidth="1"/>
    <col min="4" max="4" width="10.7109375" bestFit="1" customWidth="1"/>
    <col min="5" max="5" width="10.5703125" customWidth="1"/>
    <col min="6" max="6" width="11.42578125" customWidth="1"/>
    <col min="7" max="7" width="25.42578125" customWidth="1"/>
    <col min="9" max="9" width="11.7109375" customWidth="1"/>
  </cols>
  <sheetData>
    <row r="1" spans="1:13" ht="15.75" customHeight="1">
      <c r="G1" s="43" t="s">
        <v>33</v>
      </c>
    </row>
    <row r="2" spans="1:13" ht="18.75">
      <c r="G2" s="44">
        <f>SUM(D:D)</f>
        <v>9900</v>
      </c>
    </row>
    <row r="4" spans="1:13" ht="30" customHeight="1">
      <c r="A4" s="34" t="s">
        <v>44</v>
      </c>
      <c r="B4" s="34" t="s">
        <v>45</v>
      </c>
      <c r="C4" s="34" t="s">
        <v>46</v>
      </c>
      <c r="D4" s="34" t="s">
        <v>47</v>
      </c>
      <c r="E4" s="37" t="s">
        <v>45</v>
      </c>
      <c r="F4" s="37" t="s">
        <v>53</v>
      </c>
      <c r="H4" s="40"/>
      <c r="I4" s="41"/>
      <c r="J4" s="41"/>
    </row>
    <row r="5" spans="1:13">
      <c r="A5" s="35">
        <v>46023</v>
      </c>
      <c r="B5" s="36" t="s">
        <v>5</v>
      </c>
      <c r="C5" s="36" t="s">
        <v>0</v>
      </c>
      <c r="D5" s="38">
        <v>3000</v>
      </c>
      <c r="E5" s="36" t="s">
        <v>5</v>
      </c>
      <c r="F5" s="6">
        <f>SUMIF(B:B,E5,D:D)</f>
        <v>4500</v>
      </c>
      <c r="H5" s="30"/>
    </row>
    <row r="6" spans="1:13">
      <c r="A6" s="35">
        <v>46024</v>
      </c>
      <c r="B6" s="36" t="s">
        <v>7</v>
      </c>
      <c r="C6" s="36" t="s">
        <v>48</v>
      </c>
      <c r="D6" s="38">
        <v>1500</v>
      </c>
      <c r="E6" s="36" t="s">
        <v>7</v>
      </c>
      <c r="F6" s="33"/>
      <c r="H6" s="30"/>
    </row>
    <row r="7" spans="1:13">
      <c r="A7" s="35">
        <v>46025</v>
      </c>
      <c r="B7" s="36" t="s">
        <v>49</v>
      </c>
      <c r="C7" s="36" t="s">
        <v>50</v>
      </c>
      <c r="D7" s="38">
        <v>200</v>
      </c>
      <c r="E7" s="36" t="s">
        <v>49</v>
      </c>
      <c r="F7" s="33"/>
    </row>
    <row r="8" spans="1:13" ht="23.25">
      <c r="A8" s="35">
        <v>46026</v>
      </c>
      <c r="B8" s="36" t="s">
        <v>51</v>
      </c>
      <c r="C8" s="36" t="s">
        <v>52</v>
      </c>
      <c r="D8" s="38">
        <v>500</v>
      </c>
      <c r="E8" s="36" t="s">
        <v>51</v>
      </c>
      <c r="F8" s="33"/>
      <c r="M8" s="39"/>
    </row>
    <row r="9" spans="1:13">
      <c r="A9" s="35">
        <v>46027</v>
      </c>
      <c r="B9" s="36" t="s">
        <v>5</v>
      </c>
      <c r="C9" s="36" t="s">
        <v>48</v>
      </c>
      <c r="D9" s="38">
        <v>1500</v>
      </c>
    </row>
    <row r="10" spans="1:13">
      <c r="A10" s="35">
        <v>46028</v>
      </c>
      <c r="B10" s="36" t="s">
        <v>49</v>
      </c>
      <c r="C10" s="36" t="s">
        <v>0</v>
      </c>
      <c r="D10" s="38">
        <v>3000</v>
      </c>
    </row>
    <row r="11" spans="1:13" ht="15.75">
      <c r="A11" s="35">
        <v>46029</v>
      </c>
      <c r="B11" s="36" t="s">
        <v>51</v>
      </c>
      <c r="C11" s="36" t="s">
        <v>50</v>
      </c>
      <c r="D11" s="38">
        <v>200</v>
      </c>
      <c r="F11" s="42" t="s">
        <v>54</v>
      </c>
      <c r="G11" s="42"/>
    </row>
    <row r="12" spans="1:13">
      <c r="F12" s="37" t="s">
        <v>45</v>
      </c>
      <c r="G12" s="37" t="s">
        <v>53</v>
      </c>
    </row>
    <row r="13" spans="1:13" ht="15.75">
      <c r="C13" s="42"/>
      <c r="F13" s="36" t="s">
        <v>5</v>
      </c>
      <c r="G13" s="38">
        <v>4500</v>
      </c>
    </row>
    <row r="14" spans="1:13" ht="21">
      <c r="F14" s="36" t="s">
        <v>7</v>
      </c>
      <c r="G14" s="38">
        <v>1500</v>
      </c>
      <c r="L14" s="41"/>
    </row>
    <row r="15" spans="1:13">
      <c r="F15" s="36" t="s">
        <v>49</v>
      </c>
      <c r="G15" s="38">
        <v>3200</v>
      </c>
    </row>
    <row r="16" spans="1:13">
      <c r="F16" s="36" t="s">
        <v>51</v>
      </c>
      <c r="G16" s="38">
        <v>700</v>
      </c>
    </row>
    <row r="17" spans="2:9">
      <c r="B17" t="s">
        <v>71</v>
      </c>
    </row>
    <row r="18" spans="2:9">
      <c r="B18" s="48" t="s">
        <v>70</v>
      </c>
      <c r="C18" s="48"/>
      <c r="D18" s="48"/>
      <c r="E18" s="48"/>
      <c r="F18" s="48"/>
      <c r="G18" s="48"/>
      <c r="H18" s="48"/>
      <c r="I18" s="48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7F8-5C37-4683-AE26-6B67AD640717}">
  <dimension ref="I1:P12"/>
  <sheetViews>
    <sheetView showGridLines="0" workbookViewId="0">
      <selection activeCell="K16" sqref="K16"/>
    </sheetView>
  </sheetViews>
  <sheetFormatPr defaultRowHeight="15"/>
  <cols>
    <col min="9" max="9" width="10.7109375" bestFit="1" customWidth="1"/>
    <col min="10" max="10" width="14.7109375" customWidth="1"/>
    <col min="11" max="11" width="8" customWidth="1"/>
    <col min="12" max="12" width="12.7109375" bestFit="1" customWidth="1"/>
    <col min="13" max="14" width="10.7109375" bestFit="1" customWidth="1"/>
    <col min="15" max="16" width="15" bestFit="1" customWidth="1"/>
  </cols>
  <sheetData>
    <row r="1" spans="9:16" ht="15" customHeight="1">
      <c r="L1" s="27"/>
    </row>
    <row r="2" spans="9:16" ht="23.25" customHeight="1">
      <c r="I2" s="27" t="s">
        <v>69</v>
      </c>
      <c r="J2" s="27"/>
      <c r="L2" s="27"/>
    </row>
    <row r="3" spans="9:16" ht="21" customHeight="1">
      <c r="I3" s="47">
        <v>7800</v>
      </c>
      <c r="J3" s="47"/>
    </row>
    <row r="7" spans="9:16" ht="15.75" thickBot="1">
      <c r="L7" s="16" t="s">
        <v>15</v>
      </c>
      <c r="M7" s="17" t="s">
        <v>30</v>
      </c>
      <c r="N7" s="17" t="s">
        <v>31</v>
      </c>
      <c r="O7" s="17" t="s">
        <v>32</v>
      </c>
      <c r="P7" s="18" t="s">
        <v>35</v>
      </c>
    </row>
    <row r="8" spans="9:16" ht="15.75" thickTop="1">
      <c r="L8" s="23" t="s">
        <v>4</v>
      </c>
      <c r="M8" s="19">
        <v>300</v>
      </c>
      <c r="N8" s="19">
        <v>400</v>
      </c>
      <c r="O8" s="19">
        <v>280</v>
      </c>
      <c r="P8" s="20">
        <v>980</v>
      </c>
    </row>
    <row r="9" spans="9:16">
      <c r="L9" s="24" t="s">
        <v>16</v>
      </c>
      <c r="M9" s="21">
        <v>450</v>
      </c>
      <c r="N9" s="21">
        <v>1300</v>
      </c>
      <c r="O9" s="21">
        <v>420</v>
      </c>
      <c r="P9" s="22">
        <v>2170</v>
      </c>
    </row>
    <row r="10" spans="9:16">
      <c r="L10" s="23" t="s">
        <v>21</v>
      </c>
      <c r="M10" s="19">
        <v>2050</v>
      </c>
      <c r="N10" s="19">
        <v>250</v>
      </c>
      <c r="O10" s="19">
        <v>0</v>
      </c>
      <c r="P10" s="20">
        <v>2300</v>
      </c>
    </row>
    <row r="11" spans="9:16">
      <c r="L11" s="24" t="s">
        <v>22</v>
      </c>
      <c r="M11" s="21">
        <v>850</v>
      </c>
      <c r="N11" s="21">
        <v>900</v>
      </c>
      <c r="O11" s="21">
        <v>600</v>
      </c>
      <c r="P11" s="22">
        <v>2350</v>
      </c>
    </row>
    <row r="12" spans="9:16">
      <c r="L12" s="25" t="s">
        <v>34</v>
      </c>
      <c r="M12" s="19">
        <v>3650</v>
      </c>
      <c r="N12" s="19">
        <v>2850</v>
      </c>
      <c r="O12" s="19">
        <v>1300</v>
      </c>
      <c r="P12" s="26">
        <v>7800</v>
      </c>
    </row>
  </sheetData>
  <mergeCells count="1">
    <mergeCell ref="I3:J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README_INTERNO</vt:lpstr>
      <vt:lpstr>PROCV</vt:lpstr>
      <vt:lpstr>PROCX</vt:lpstr>
      <vt:lpstr>SOMASE</vt:lpstr>
      <vt:lpstr>CASO_PRATICO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 R.P</cp:lastModifiedBy>
  <dcterms:created xsi:type="dcterms:W3CDTF">2026-04-30T00:58:10Z</dcterms:created>
  <dcterms:modified xsi:type="dcterms:W3CDTF">2026-04-30T21:07:05Z</dcterms:modified>
</cp:coreProperties>
</file>